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<sst xmlns="http://schemas.openxmlformats.org/spreadsheetml/2006/main" count="107" uniqueCount="35">
  <si>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</si>
  <si>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</si>
  <si>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</si>
  <si>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</si>
  <si>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</si>
  <si>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- 0.8840)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</si>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</sst>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I9" sqref="I9"/>
    </sheetView>
  </sheetViews>
  <sheetFormatPr defaultColWidth="9" defaultRowHeight="14"/>
  <cols>
    <col min="4" max="4" width="12" customWidth="1"/>
    <col min="5" max="5" width="13.9090909090909" customWidth="1"/>
    <col min="6" max="6" width="36.6363636363636" customWidth="1"/>
    <col min="10" max="10" width="33.6363636363636" customWidth="1"/>
    <col min="11" max="11" width="21" customWidth="1"/>
  </cols>
  <sheetData>
    <row r="1" ht="17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J1" s="2" t="s">
        <v>6</v>
      </c>
      <c r="K1">
        <f>AVERAGE(E2:E28)</f>
        <v>0.802148148148148</v>
      </c>
    </row>
    <row r="2" ht="17" spans="1:11">
      <c r="A2">
        <v>1</v>
      </c>
      <c r="B2" t="s">
        <v>7</v>
      </c>
      <c r="C2" t="s">
        <v>8</v>
      </c>
      <c r="D2" t="s">
        <v>9</v>
      </c>
      <c r="E2">
        <v>0.845</v>
      </c>
      <c r="F2">
        <f>E2-0.884</f>
        <v>-0.039</v>
      </c>
      <c r="J2" s="2" t="s">
        <v>10</v>
      </c>
      <c r="K2">
        <f>AVERAGE(F2:F28)</f>
        <v>-0.0818518518518519</v>
      </c>
    </row>
    <row r="3" spans="1:6">
      <c r="A3">
        <v>2</v>
      </c>
      <c r="B3" t="s">
        <v>7</v>
      </c>
      <c r="C3" t="s">
        <v>8</v>
      </c>
      <c r="D3" t="s">
        <v>11</v>
      </c>
      <c r="E3">
        <v>0.842</v>
      </c>
      <c r="F3">
        <f t="shared" ref="F3:F28" si="0">E3-0.884</f>
        <v>-0.042</v>
      </c>
    </row>
    <row r="4" spans="1:6">
      <c r="A4">
        <v>3</v>
      </c>
      <c r="B4" t="s">
        <v>7</v>
      </c>
      <c r="C4" t="s">
        <v>8</v>
      </c>
      <c r="D4" t="s">
        <v>12</v>
      </c>
      <c r="E4">
        <v>0.867</v>
      </c>
      <c r="F4">
        <f t="shared" si="0"/>
        <v>-0.017</v>
      </c>
    </row>
    <row r="5" spans="1:6">
      <c r="A5">
        <v>4</v>
      </c>
      <c r="B5" t="s">
        <v>7</v>
      </c>
      <c r="C5" t="s">
        <v>13</v>
      </c>
      <c r="D5" t="s">
        <v>9</v>
      </c>
      <c r="E5">
        <v>0.832</v>
      </c>
      <c r="F5">
        <f t="shared" si="0"/>
        <v>-0.052</v>
      </c>
    </row>
    <row r="6" ht="17" spans="1:11">
      <c r="A6">
        <v>5</v>
      </c>
      <c r="B6" t="s">
        <v>7</v>
      </c>
      <c r="C6" t="s">
        <v>13</v>
      </c>
      <c r="D6" t="s">
        <v>11</v>
      </c>
      <c r="E6">
        <v>0.835</v>
      </c>
      <c r="F6">
        <f t="shared" si="0"/>
        <v>-0.049</v>
      </c>
      <c r="J6" s="2" t="s">
        <v>14</v>
      </c>
      <c r="K6">
        <f>AVERAGEIF(B2:B28,"E",E2:E28)</f>
        <v>0.846555555555556</v>
      </c>
    </row>
    <row r="7" ht="17" spans="1:11">
      <c r="A7">
        <v>6</v>
      </c>
      <c r="B7" t="s">
        <v>7</v>
      </c>
      <c r="C7" t="s">
        <v>13</v>
      </c>
      <c r="D7" t="s">
        <v>12</v>
      </c>
      <c r="E7">
        <v>0.875</v>
      </c>
      <c r="F7">
        <f t="shared" si="0"/>
        <v>-0.00900000000000001</v>
      </c>
      <c r="J7" s="2" t="s">
        <v>15</v>
      </c>
      <c r="K7">
        <f>AVERAGEIF(B2:B28,"S",E2:E28)</f>
        <v>0.769888888888889</v>
      </c>
    </row>
    <row r="8" ht="17" spans="1:11">
      <c r="A8">
        <v>7</v>
      </c>
      <c r="B8" t="s">
        <v>7</v>
      </c>
      <c r="C8" t="s">
        <v>16</v>
      </c>
      <c r="D8" t="s">
        <v>9</v>
      </c>
      <c r="E8">
        <v>0.838</v>
      </c>
      <c r="F8">
        <f t="shared" si="0"/>
        <v>-0.046</v>
      </c>
      <c r="J8" s="2" t="s">
        <v>17</v>
      </c>
      <c r="K8">
        <f>AVERAGEIF(B2:B28,"H",E2:E28)</f>
        <v>0.79</v>
      </c>
    </row>
    <row r="9" spans="1:6">
      <c r="A9">
        <v>8</v>
      </c>
      <c r="B9" t="s">
        <v>7</v>
      </c>
      <c r="C9" t="s">
        <v>16</v>
      </c>
      <c r="D9" t="s">
        <v>11</v>
      </c>
      <c r="E9">
        <v>0.829</v>
      </c>
      <c r="F9">
        <f t="shared" si="0"/>
        <v>-0.055</v>
      </c>
    </row>
    <row r="10" spans="1:6">
      <c r="A10">
        <v>9</v>
      </c>
      <c r="B10" t="s">
        <v>7</v>
      </c>
      <c r="C10" t="s">
        <v>16</v>
      </c>
      <c r="D10" t="s">
        <v>12</v>
      </c>
      <c r="E10">
        <v>0.856</v>
      </c>
      <c r="F10">
        <f t="shared" si="0"/>
        <v>-0.028</v>
      </c>
    </row>
    <row r="11" ht="17" spans="1:11">
      <c r="A11">
        <v>10</v>
      </c>
      <c r="B11" t="s">
        <v>18</v>
      </c>
      <c r="C11" t="s">
        <v>8</v>
      </c>
      <c r="D11" t="s">
        <v>9</v>
      </c>
      <c r="E11">
        <v>0.781</v>
      </c>
      <c r="F11">
        <f t="shared" si="0"/>
        <v>-0.103</v>
      </c>
      <c r="J11" s="2" t="s">
        <v>19</v>
      </c>
      <c r="K11">
        <f>AVERAGEIF(C2:C28,"N",E2:E28)</f>
        <v>0.811888888888889</v>
      </c>
    </row>
    <row r="12" ht="17" spans="1:11">
      <c r="A12">
        <v>11</v>
      </c>
      <c r="B12" t="s">
        <v>18</v>
      </c>
      <c r="C12" t="s">
        <v>8</v>
      </c>
      <c r="D12" t="s">
        <v>11</v>
      </c>
      <c r="E12">
        <v>0.778</v>
      </c>
      <c r="F12">
        <f t="shared" si="0"/>
        <v>-0.106</v>
      </c>
      <c r="J12" s="2" t="s">
        <v>20</v>
      </c>
      <c r="K12">
        <f>AVERAGEIF(C2:C28,"V",E2:E28)</f>
        <v>0.795111111111111</v>
      </c>
    </row>
    <row r="13" ht="17" spans="1:11">
      <c r="A13">
        <v>12</v>
      </c>
      <c r="B13" t="s">
        <v>18</v>
      </c>
      <c r="C13" t="s">
        <v>8</v>
      </c>
      <c r="D13" t="s">
        <v>12</v>
      </c>
      <c r="E13">
        <v>0.796</v>
      </c>
      <c r="F13">
        <f t="shared" si="0"/>
        <v>-0.088</v>
      </c>
      <c r="J13" s="2" t="s">
        <v>21</v>
      </c>
      <c r="K13">
        <f>AVERAGEIF(C2:C28,"O",E2:E28)</f>
        <v>0.799444444444444</v>
      </c>
    </row>
    <row r="14" spans="1:6">
      <c r="A14">
        <v>13</v>
      </c>
      <c r="B14" t="s">
        <v>18</v>
      </c>
      <c r="C14" t="s">
        <v>13</v>
      </c>
      <c r="D14" t="s">
        <v>9</v>
      </c>
      <c r="E14">
        <v>0.741</v>
      </c>
      <c r="F14">
        <f t="shared" si="0"/>
        <v>-0.143</v>
      </c>
    </row>
    <row r="15" spans="1:6">
      <c r="A15">
        <v>14</v>
      </c>
      <c r="B15" t="s">
        <v>18</v>
      </c>
      <c r="C15" t="s">
        <v>13</v>
      </c>
      <c r="D15" t="s">
        <v>11</v>
      </c>
      <c r="E15">
        <v>0.749</v>
      </c>
      <c r="F15">
        <f t="shared" si="0"/>
        <v>-0.135</v>
      </c>
    </row>
    <row r="16" ht="17" spans="1:11">
      <c r="A16">
        <v>15</v>
      </c>
      <c r="B16" t="s">
        <v>18</v>
      </c>
      <c r="C16" t="s">
        <v>13</v>
      </c>
      <c r="D16" t="s">
        <v>12</v>
      </c>
      <c r="E16">
        <v>0.775</v>
      </c>
      <c r="F16">
        <f t="shared" si="0"/>
        <v>-0.109</v>
      </c>
      <c r="J16" s="2" t="s">
        <v>22</v>
      </c>
      <c r="K16">
        <f>AVERAGEIF(D2:D28,"K",E2:E28)</f>
        <v>0.798666666666667</v>
      </c>
    </row>
    <row r="17" ht="17" spans="1:11">
      <c r="A17">
        <v>16</v>
      </c>
      <c r="B17" t="s">
        <v>18</v>
      </c>
      <c r="C17" t="s">
        <v>16</v>
      </c>
      <c r="D17" t="s">
        <v>9</v>
      </c>
      <c r="E17">
        <v>0.77</v>
      </c>
      <c r="F17">
        <f t="shared" si="0"/>
        <v>-0.114</v>
      </c>
      <c r="J17" s="2" t="s">
        <v>23</v>
      </c>
      <c r="K17">
        <f>AVERAGEIF(D2:D28,"R",E2:E28)</f>
        <v>0.791444444444445</v>
      </c>
    </row>
    <row r="18" ht="17" spans="1:11">
      <c r="A18">
        <v>17</v>
      </c>
      <c r="B18" t="s">
        <v>18</v>
      </c>
      <c r="C18" t="s">
        <v>16</v>
      </c>
      <c r="D18" t="s">
        <v>11</v>
      </c>
      <c r="E18">
        <v>0.753</v>
      </c>
      <c r="F18">
        <f t="shared" si="0"/>
        <v>-0.131</v>
      </c>
      <c r="J18" s="2" t="s">
        <v>24</v>
      </c>
      <c r="K18">
        <f>AVERAGEIF(D2:D28,"A",E2:E28)</f>
        <v>0.816333333333333</v>
      </c>
    </row>
    <row r="19" spans="1:6">
      <c r="A19">
        <v>18</v>
      </c>
      <c r="B19" t="s">
        <v>18</v>
      </c>
      <c r="C19" t="s">
        <v>16</v>
      </c>
      <c r="D19" t="s">
        <v>12</v>
      </c>
      <c r="E19">
        <v>0.786</v>
      </c>
      <c r="F19">
        <f t="shared" si="0"/>
        <v>-0.098</v>
      </c>
    </row>
    <row r="20" spans="1:6">
      <c r="A20">
        <v>19</v>
      </c>
      <c r="B20" t="s">
        <v>25</v>
      </c>
      <c r="C20" t="s">
        <v>8</v>
      </c>
      <c r="D20" t="s">
        <v>9</v>
      </c>
      <c r="E20">
        <v>0.796</v>
      </c>
      <c r="F20">
        <f t="shared" si="0"/>
        <v>-0.088</v>
      </c>
    </row>
    <row r="21" spans="1:6">
      <c r="A21">
        <v>20</v>
      </c>
      <c r="B21" t="s">
        <v>25</v>
      </c>
      <c r="C21" t="s">
        <v>8</v>
      </c>
      <c r="D21" t="s">
        <v>11</v>
      </c>
      <c r="E21">
        <v>0.79</v>
      </c>
      <c r="F21">
        <f t="shared" si="0"/>
        <v>-0.094</v>
      </c>
    </row>
    <row r="22" ht="17" spans="1:11">
      <c r="A22">
        <v>21</v>
      </c>
      <c r="B22" t="s">
        <v>25</v>
      </c>
      <c r="C22" t="s">
        <v>8</v>
      </c>
      <c r="D22" t="s">
        <v>12</v>
      </c>
      <c r="E22">
        <v>0.812</v>
      </c>
      <c r="F22">
        <f t="shared" si="0"/>
        <v>-0.072</v>
      </c>
      <c r="J22" s="2" t="s">
        <v>26</v>
      </c>
      <c r="K22">
        <f>AVERAGEIF(B2:B28,"E",F2:F28)</f>
        <v>-0.0374444444444445</v>
      </c>
    </row>
    <row r="23" ht="17" spans="1:11">
      <c r="A23">
        <v>22</v>
      </c>
      <c r="B23" t="s">
        <v>25</v>
      </c>
      <c r="C23" t="s">
        <v>13</v>
      </c>
      <c r="D23" t="s">
        <v>9</v>
      </c>
      <c r="E23">
        <v>0.793</v>
      </c>
      <c r="F23">
        <f t="shared" si="0"/>
        <v>-0.091</v>
      </c>
      <c r="J23" s="2" t="s">
        <v>27</v>
      </c>
      <c r="K23">
        <f>AVERAGEIF(B2:B28,"S",F2:F28)</f>
        <v>-0.114111111111111</v>
      </c>
    </row>
    <row r="24" ht="17" spans="1:11">
      <c r="A24">
        <v>23</v>
      </c>
      <c r="B24" t="s">
        <v>25</v>
      </c>
      <c r="C24" t="s">
        <v>13</v>
      </c>
      <c r="D24" t="s">
        <v>11</v>
      </c>
      <c r="E24">
        <v>0.768</v>
      </c>
      <c r="F24">
        <f t="shared" si="0"/>
        <v>-0.116</v>
      </c>
      <c r="J24" s="2" t="s">
        <v>28</v>
      </c>
      <c r="K24">
        <f>AVERAGEIF(B2:B28,"H",F2:F28)</f>
        <v>-0.094</v>
      </c>
    </row>
    <row r="25" spans="1:6">
      <c r="A25">
        <v>24</v>
      </c>
      <c r="B25" t="s">
        <v>25</v>
      </c>
      <c r="C25" t="s">
        <v>13</v>
      </c>
      <c r="D25" t="s">
        <v>12</v>
      </c>
      <c r="E25">
        <v>0.788</v>
      </c>
      <c r="F25">
        <f t="shared" si="0"/>
        <v>-0.096</v>
      </c>
    </row>
    <row r="26" ht="17" spans="1:11">
      <c r="A26">
        <v>25</v>
      </c>
      <c r="B26" t="s">
        <v>25</v>
      </c>
      <c r="C26" t="s">
        <v>16</v>
      </c>
      <c r="D26" t="s">
        <v>9</v>
      </c>
      <c r="E26">
        <v>0.792</v>
      </c>
      <c r="F26">
        <f t="shared" si="0"/>
        <v>-0.092</v>
      </c>
      <c r="J26" s="2" t="s">
        <v>29</v>
      </c>
      <c r="K26">
        <f>AVERAGEIF(C2:C28,"N",F2:F28)</f>
        <v>-0.0721111111111111</v>
      </c>
    </row>
    <row r="27" ht="17" spans="1:11">
      <c r="A27">
        <v>26</v>
      </c>
      <c r="B27" t="s">
        <v>25</v>
      </c>
      <c r="C27" t="s">
        <v>16</v>
      </c>
      <c r="D27" t="s">
        <v>11</v>
      </c>
      <c r="E27">
        <v>0.779</v>
      </c>
      <c r="F27">
        <f t="shared" si="0"/>
        <v>-0.105</v>
      </c>
      <c r="J27" s="2" t="s">
        <v>30</v>
      </c>
      <c r="K27">
        <f>AVERAGEIF(C2:C28,"V",F2:F28)</f>
        <v>-0.0888888888888889</v>
      </c>
    </row>
    <row r="28" ht="17" spans="1:11">
      <c r="A28">
        <v>27</v>
      </c>
      <c r="B28" t="s">
        <v>25</v>
      </c>
      <c r="C28" t="s">
        <v>16</v>
      </c>
      <c r="D28" t="s">
        <v>12</v>
      </c>
      <c r="E28">
        <v>0.792</v>
      </c>
      <c r="F28">
        <f t="shared" si="0"/>
        <v>-0.092</v>
      </c>
      <c r="J28" s="2" t="s">
        <v>31</v>
      </c>
      <c r="K28">
        <f>AVERAGEIF(C2:C28,"O",F2:F28)</f>
        <v>-0.0845555555555556</v>
      </c>
    </row>
    <row r="30" ht="17" spans="10:11">
      <c r="J30" s="2" t="s">
        <v>32</v>
      </c>
      <c r="K30">
        <f>AVERAGEIF(D2:D28,"K",F2:F28)</f>
        <v>-0.0853333333333333</v>
      </c>
    </row>
    <row r="31" ht="17" spans="10:11">
      <c r="J31" s="2" t="s">
        <v>33</v>
      </c>
      <c r="K31">
        <f>AVERAGEIF(D2:D28,"R",F2:F28)</f>
        <v>-0.0925555555555556</v>
      </c>
    </row>
    <row r="32" ht="17" spans="10:11">
      <c r="J32" s="2" t="s">
        <v>34</v>
      </c>
      <c r="K32">
        <f>AVERAGEIF(D2:D28,"A",F2:F28)</f>
        <v>-0.0676666666666667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华曦</cp:lastModifiedBy>
  <dcterms:created xsi:type="dcterms:W3CDTF">2025-10-27T05:46:00Z</dcterms:created>
  <dcterms:modified xsi:type="dcterms:W3CDTF">2025-11-03T11:34:21Z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3BCDD4BEFDAF4B298879B96F31BC36AF_11</vt:lpwstr>
  </property>
  <property fmtid="{D5CDD505-2E9C-101B-9397-08002B2CF9AE}" pid="3" name="KSOProductBuildVer">
    <vt:lpwstr>2052-12.1.0.23125</vt:lpwstr>
  </property>
</Properties>
</file>