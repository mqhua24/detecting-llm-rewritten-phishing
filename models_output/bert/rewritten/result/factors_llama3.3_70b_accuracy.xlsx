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<sst xmlns="http://schemas.openxmlformats.org/spreadsheetml/2006/main" count="107" uniqueCount="35">
  <si>
    <t>combo_id</t>
  </si>
  <si>
    <t>cta</t>
  </si>
  <si>
    <t>amount</t>
  </si>
  <si>
    <t>sensitive</t>
  </si>
  <si>
    <t>accuracy</t>
  </si>
  <si>
    <t>delta_acc (Accuracy - 0.8840)</t>
  </si>
  <si>
    <t>Overall average accuracy rate</t>
  </si>
  <si>
    <t>E</t>
  </si>
  <si>
    <t>N</t>
  </si>
  <si>
    <t>K</t>
  </si>
  <si>
    <t>Overall average delta_acc</t>
  </si>
  <si>
    <t>R</t>
  </si>
  <si>
    <t>A</t>
  </si>
  <si>
    <t>V</t>
  </si>
  <si>
    <t>Average accuracy of CTA = "E" :</t>
  </si>
  <si>
    <t>Average accuracy of CTA = "S" :</t>
  </si>
  <si>
    <t>O</t>
  </si>
  <si>
    <t>Average accuracy of CTA = "H" :</t>
  </si>
  <si>
    <t>S</t>
  </si>
  <si>
    <t>Average accuracy of amount = "N" :</t>
  </si>
  <si>
    <t>Average accuracy of amount = "V" :</t>
  </si>
  <si>
    <t>Average accuracy of amount = "O" :</t>
  </si>
  <si>
    <t>Average accuracy of sensitive = "K" :</t>
  </si>
  <si>
    <t>Average accuracy of sensitive = "R" :</t>
  </si>
  <si>
    <t>Average accuracy of sensitive = "A" :</t>
  </si>
  <si>
    <t>H</t>
  </si>
  <si>
    <t>Average delta_acc of CTA = "E" :</t>
  </si>
  <si>
    <t>Average delta_acc of CTA = "S" :</t>
  </si>
  <si>
    <t>Average delta_acc of CTA = "H" :</t>
  </si>
  <si>
    <t>Average delta_acc of amount = "N" :</t>
  </si>
  <si>
    <t>Average delta_acc of amount = "V" :</t>
  </si>
  <si>
    <t>Average delta_acc of amount = "O" :</t>
  </si>
  <si>
    <t>Average delta_acc of sensitive = "K" :</t>
  </si>
  <si>
    <t>Average delta_acc of sensitive = "R" :</t>
  </si>
  <si>
    <t>Average delta_acc of sensitive = "A" 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</si>
</sst>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2A2B2E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tabSelected="1" workbookViewId="0">
      <selection activeCell="M10" sqref="M10"/>
    </sheetView>
  </sheetViews>
  <sheetFormatPr defaultColWidth="8.72727272727273" defaultRowHeight="14"/>
  <cols>
    <col min="4" max="4" width="9.81818181818182" customWidth="1"/>
    <col min="5" max="5" width="9.63636363636364" customWidth="1"/>
    <col min="6" max="6" width="31.8181818181818" customWidth="1"/>
    <col min="10" max="10" width="35.6363636363636" customWidth="1"/>
    <col min="11" max="11" width="15.6363636363636" customWidth="1"/>
  </cols>
  <sheetData>
    <row r="1" ht="18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J1" s="3" t="s">
        <v>6</v>
      </c>
      <c r="K1" s="1">
        <f>AVERAGE(E2:E28)</f>
        <v>0.790522222222222</v>
      </c>
    </row>
    <row r="2" ht="17" spans="1:11">
      <c r="A2" s="1">
        <v>1</v>
      </c>
      <c r="B2" s="1" t="s">
        <v>7</v>
      </c>
      <c r="C2" s="1" t="s">
        <v>8</v>
      </c>
      <c r="D2" s="1" t="s">
        <v>9</v>
      </c>
      <c r="E2">
        <v>0.8034</v>
      </c>
      <c r="F2" s="1">
        <f t="shared" ref="F2:F28" si="0">E2-0.884</f>
        <v>-0.0806</v>
      </c>
      <c r="J2" s="3" t="s">
        <v>10</v>
      </c>
      <c r="K2" s="1">
        <f>AVERAGE(F2:F28)</f>
        <v>-0.0934777777777778</v>
      </c>
    </row>
    <row r="3" spans="1:11">
      <c r="A3" s="1">
        <v>2</v>
      </c>
      <c r="B3" s="1" t="s">
        <v>7</v>
      </c>
      <c r="C3" s="1" t="s">
        <v>8</v>
      </c>
      <c r="D3" s="1" t="s">
        <v>11</v>
      </c>
      <c r="E3">
        <v>0.8054</v>
      </c>
      <c r="F3" s="1">
        <f t="shared" si="0"/>
        <v>-0.0786</v>
      </c>
      <c r="J3" s="1"/>
      <c r="K3" s="1"/>
    </row>
    <row r="4" spans="1:11">
      <c r="A4" s="1">
        <v>3</v>
      </c>
      <c r="B4" s="1" t="s">
        <v>7</v>
      </c>
      <c r="C4" s="1" t="s">
        <v>8</v>
      </c>
      <c r="D4" s="1" t="s">
        <v>12</v>
      </c>
      <c r="E4">
        <v>0.8205</v>
      </c>
      <c r="F4" s="1">
        <f t="shared" si="0"/>
        <v>-0.0635</v>
      </c>
      <c r="J4" s="1"/>
      <c r="K4" s="1"/>
    </row>
    <row r="5" spans="1:11">
      <c r="A5" s="1">
        <v>4</v>
      </c>
      <c r="B5" s="1" t="s">
        <v>7</v>
      </c>
      <c r="C5" s="1" t="s">
        <v>13</v>
      </c>
      <c r="D5" s="1" t="s">
        <v>9</v>
      </c>
      <c r="E5">
        <v>0.7984</v>
      </c>
      <c r="F5" s="1">
        <f t="shared" si="0"/>
        <v>-0.0856</v>
      </c>
      <c r="J5" s="1"/>
      <c r="K5" s="1"/>
    </row>
    <row r="6" ht="17" spans="1:11">
      <c r="A6" s="1">
        <v>5</v>
      </c>
      <c r="B6" s="1" t="s">
        <v>7</v>
      </c>
      <c r="C6" s="1" t="s">
        <v>13</v>
      </c>
      <c r="D6" s="1" t="s">
        <v>11</v>
      </c>
      <c r="E6">
        <v>0.7954</v>
      </c>
      <c r="F6" s="1">
        <f t="shared" si="0"/>
        <v>-0.0886</v>
      </c>
      <c r="J6" s="3" t="s">
        <v>14</v>
      </c>
      <c r="K6" s="1">
        <f>AVERAGEIF(B2:B28,"E",E2:E28)</f>
        <v>0.804311111111111</v>
      </c>
    </row>
    <row r="7" ht="17" spans="1:11">
      <c r="A7" s="1">
        <v>6</v>
      </c>
      <c r="B7" s="1" t="s">
        <v>7</v>
      </c>
      <c r="C7" s="1" t="s">
        <v>13</v>
      </c>
      <c r="D7" s="1" t="s">
        <v>12</v>
      </c>
      <c r="E7">
        <v>0.8195</v>
      </c>
      <c r="F7" s="1">
        <f t="shared" si="0"/>
        <v>-0.0645</v>
      </c>
      <c r="J7" s="3" t="s">
        <v>15</v>
      </c>
      <c r="K7" s="1">
        <f>AVERAGEIF(B2:B28,"S",E2:E28)</f>
        <v>0.7683</v>
      </c>
    </row>
    <row r="8" ht="17" spans="1:11">
      <c r="A8" s="1">
        <v>7</v>
      </c>
      <c r="B8" s="1" t="s">
        <v>7</v>
      </c>
      <c r="C8" s="1" t="s">
        <v>16</v>
      </c>
      <c r="D8" s="1" t="s">
        <v>9</v>
      </c>
      <c r="E8">
        <v>0.7944</v>
      </c>
      <c r="F8" s="1">
        <f t="shared" si="0"/>
        <v>-0.0896</v>
      </c>
      <c r="J8" s="3" t="s">
        <v>17</v>
      </c>
      <c r="K8" s="1">
        <f>AVERAGEIF(B2:B28,"H",E2:E28)</f>
        <v>0.798955555555556</v>
      </c>
    </row>
    <row r="9" spans="1:11">
      <c r="A9" s="1">
        <v>8</v>
      </c>
      <c r="B9" s="1" t="s">
        <v>7</v>
      </c>
      <c r="C9" s="1" t="s">
        <v>16</v>
      </c>
      <c r="D9" s="1" t="s">
        <v>11</v>
      </c>
      <c r="E9">
        <v>0.7964</v>
      </c>
      <c r="F9" s="1">
        <f t="shared" si="0"/>
        <v>-0.0876</v>
      </c>
      <c r="J9" s="1"/>
      <c r="K9" s="1"/>
    </row>
    <row r="10" spans="1:11">
      <c r="A10" s="1">
        <v>9</v>
      </c>
      <c r="B10" s="1" t="s">
        <v>7</v>
      </c>
      <c r="C10" s="1" t="s">
        <v>16</v>
      </c>
      <c r="D10" s="1" t="s">
        <v>12</v>
      </c>
      <c r="E10">
        <v>0.8054</v>
      </c>
      <c r="F10" s="1">
        <f t="shared" si="0"/>
        <v>-0.0786</v>
      </c>
      <c r="J10" s="1"/>
      <c r="K10" s="1"/>
    </row>
    <row r="11" ht="17" spans="1:11">
      <c r="A11" s="1">
        <v>10</v>
      </c>
      <c r="B11" s="1" t="s">
        <v>18</v>
      </c>
      <c r="C11" s="1" t="s">
        <v>8</v>
      </c>
      <c r="D11" s="1" t="s">
        <v>9</v>
      </c>
      <c r="E11">
        <v>0.7632</v>
      </c>
      <c r="F11" s="1">
        <f t="shared" si="0"/>
        <v>-0.1208</v>
      </c>
      <c r="J11" s="3" t="s">
        <v>19</v>
      </c>
      <c r="K11" s="1">
        <f>AVERAGEIF(C2:C28,"N",E2:E28)</f>
        <v>0.792922222222222</v>
      </c>
    </row>
    <row r="12" ht="17" spans="1:11">
      <c r="A12" s="1">
        <v>11</v>
      </c>
      <c r="B12" s="1" t="s">
        <v>18</v>
      </c>
      <c r="C12" s="1" t="s">
        <v>8</v>
      </c>
      <c r="D12" s="1" t="s">
        <v>11</v>
      </c>
      <c r="E12">
        <v>0.7633</v>
      </c>
      <c r="F12" s="1">
        <f t="shared" si="0"/>
        <v>-0.1207</v>
      </c>
      <c r="J12" s="3" t="s">
        <v>20</v>
      </c>
      <c r="K12" s="1">
        <f>AVERAGEIF(C2:C28,"V",E2:E28)</f>
        <v>0.786811111111111</v>
      </c>
    </row>
    <row r="13" ht="17" spans="1:11">
      <c r="A13" s="1">
        <v>12</v>
      </c>
      <c r="B13" s="1" t="s">
        <v>18</v>
      </c>
      <c r="C13" s="1" t="s">
        <v>8</v>
      </c>
      <c r="D13" s="1" t="s">
        <v>12</v>
      </c>
      <c r="E13">
        <v>0.7813</v>
      </c>
      <c r="F13" s="1">
        <f t="shared" si="0"/>
        <v>-0.1027</v>
      </c>
      <c r="J13" s="3" t="s">
        <v>21</v>
      </c>
      <c r="K13" s="1">
        <f>AVERAGEIF(C2:C28,"O",E2:E28)</f>
        <v>0.791833333333333</v>
      </c>
    </row>
    <row r="14" spans="1:11">
      <c r="A14" s="1">
        <v>13</v>
      </c>
      <c r="B14" s="1" t="s">
        <v>18</v>
      </c>
      <c r="C14" s="1" t="s">
        <v>13</v>
      </c>
      <c r="D14" s="1" t="s">
        <v>9</v>
      </c>
      <c r="E14">
        <v>0.7553</v>
      </c>
      <c r="F14" s="1">
        <f t="shared" si="0"/>
        <v>-0.1287</v>
      </c>
      <c r="J14" s="1"/>
      <c r="K14" s="1"/>
    </row>
    <row r="15" spans="1:11">
      <c r="A15" s="1">
        <v>14</v>
      </c>
      <c r="B15" s="1" t="s">
        <v>18</v>
      </c>
      <c r="C15" s="1" t="s">
        <v>13</v>
      </c>
      <c r="D15" s="1" t="s">
        <v>11</v>
      </c>
      <c r="E15">
        <v>0.7613</v>
      </c>
      <c r="F15" s="1">
        <f t="shared" si="0"/>
        <v>-0.1227</v>
      </c>
      <c r="J15" s="1"/>
      <c r="K15" s="1"/>
    </row>
    <row r="16" ht="17" spans="1:11">
      <c r="A16" s="1">
        <v>15</v>
      </c>
      <c r="B16" s="1" t="s">
        <v>18</v>
      </c>
      <c r="C16" s="1" t="s">
        <v>13</v>
      </c>
      <c r="D16" s="1" t="s">
        <v>12</v>
      </c>
      <c r="E16">
        <v>0.7783</v>
      </c>
      <c r="F16" s="1">
        <f t="shared" si="0"/>
        <v>-0.1057</v>
      </c>
      <c r="J16" s="3" t="s">
        <v>22</v>
      </c>
      <c r="K16" s="1">
        <f>AVERAGEIF(D2:D28,"K",E2:E28)</f>
        <v>0.781677777777778</v>
      </c>
    </row>
    <row r="17" ht="17" spans="1:11">
      <c r="A17" s="1">
        <v>16</v>
      </c>
      <c r="B17" s="1" t="s">
        <v>18</v>
      </c>
      <c r="C17" s="1" t="s">
        <v>16</v>
      </c>
      <c r="D17" s="1" t="s">
        <v>9</v>
      </c>
      <c r="E17">
        <v>0.7613</v>
      </c>
      <c r="F17" s="1">
        <f t="shared" si="0"/>
        <v>-0.1227</v>
      </c>
      <c r="J17" s="3" t="s">
        <v>23</v>
      </c>
      <c r="K17" s="1">
        <f>AVERAGEIF(D2:D28,"R",E2:E28)</f>
        <v>0.787144444444444</v>
      </c>
    </row>
    <row r="18" ht="17" spans="1:11">
      <c r="A18" s="1">
        <v>17</v>
      </c>
      <c r="B18" s="1" t="s">
        <v>18</v>
      </c>
      <c r="C18" s="1" t="s">
        <v>16</v>
      </c>
      <c r="D18" s="1" t="s">
        <v>11</v>
      </c>
      <c r="E18">
        <v>0.7623</v>
      </c>
      <c r="F18" s="1">
        <f t="shared" si="0"/>
        <v>-0.1217</v>
      </c>
      <c r="J18" s="3" t="s">
        <v>24</v>
      </c>
      <c r="K18" s="1">
        <f>AVERAGEIF(D2:D28,"A",E2:E28)</f>
        <v>0.802744444444444</v>
      </c>
    </row>
    <row r="19" spans="1:11">
      <c r="A19" s="1">
        <v>18</v>
      </c>
      <c r="B19" s="1" t="s">
        <v>18</v>
      </c>
      <c r="C19" s="1" t="s">
        <v>16</v>
      </c>
      <c r="D19" s="1" t="s">
        <v>12</v>
      </c>
      <c r="E19">
        <v>0.7884</v>
      </c>
      <c r="F19" s="1">
        <f t="shared" si="0"/>
        <v>-0.0956</v>
      </c>
      <c r="J19" s="1"/>
      <c r="K19" s="1"/>
    </row>
    <row r="20" spans="1:11">
      <c r="A20" s="1">
        <v>19</v>
      </c>
      <c r="B20" s="1" t="s">
        <v>25</v>
      </c>
      <c r="C20" s="1" t="s">
        <v>8</v>
      </c>
      <c r="D20" s="1" t="s">
        <v>9</v>
      </c>
      <c r="E20">
        <v>0.7894</v>
      </c>
      <c r="F20" s="1">
        <f t="shared" si="0"/>
        <v>-0.0946</v>
      </c>
      <c r="J20" s="1"/>
      <c r="K20" s="1"/>
    </row>
    <row r="21" spans="1:11">
      <c r="A21" s="1">
        <v>20</v>
      </c>
      <c r="B21" s="1" t="s">
        <v>25</v>
      </c>
      <c r="C21" s="1" t="s">
        <v>8</v>
      </c>
      <c r="D21" s="1" t="s">
        <v>11</v>
      </c>
      <c r="E21">
        <v>0.7984</v>
      </c>
      <c r="F21" s="1">
        <f t="shared" si="0"/>
        <v>-0.0856</v>
      </c>
      <c r="J21" s="1"/>
      <c r="K21" s="1"/>
    </row>
    <row r="22" ht="17" spans="1:11">
      <c r="A22" s="1">
        <v>21</v>
      </c>
      <c r="B22" s="1" t="s">
        <v>25</v>
      </c>
      <c r="C22" s="1" t="s">
        <v>8</v>
      </c>
      <c r="D22" s="1" t="s">
        <v>12</v>
      </c>
      <c r="E22">
        <v>0.8114</v>
      </c>
      <c r="F22" s="1">
        <f t="shared" si="0"/>
        <v>-0.0726</v>
      </c>
      <c r="J22" s="3" t="s">
        <v>26</v>
      </c>
      <c r="K22" s="1">
        <f>AVERAGEIF(B2:B28,"E",F2:F28)</f>
        <v>-0.0796888888888889</v>
      </c>
    </row>
    <row r="23" ht="17" spans="1:11">
      <c r="A23" s="1">
        <v>22</v>
      </c>
      <c r="B23" s="1" t="s">
        <v>25</v>
      </c>
      <c r="C23" s="1" t="s">
        <v>13</v>
      </c>
      <c r="D23" s="1" t="s">
        <v>9</v>
      </c>
      <c r="E23">
        <v>0.7823</v>
      </c>
      <c r="F23" s="1">
        <f t="shared" si="0"/>
        <v>-0.1017</v>
      </c>
      <c r="J23" s="3" t="s">
        <v>27</v>
      </c>
      <c r="K23" s="1">
        <f>AVERAGEIF(B2:B28,"S",F2:F28)</f>
        <v>-0.1157</v>
      </c>
    </row>
    <row r="24" ht="17" spans="1:11">
      <c r="A24" s="1">
        <v>23</v>
      </c>
      <c r="B24" s="1" t="s">
        <v>25</v>
      </c>
      <c r="C24" s="1" t="s">
        <v>13</v>
      </c>
      <c r="D24" s="1" t="s">
        <v>11</v>
      </c>
      <c r="E24">
        <v>0.7924</v>
      </c>
      <c r="F24" s="1">
        <f t="shared" si="0"/>
        <v>-0.0916</v>
      </c>
      <c r="J24" s="3" t="s">
        <v>28</v>
      </c>
      <c r="K24" s="1">
        <f>AVERAGEIF(B2:B28,"H",F2:F28)</f>
        <v>-0.0850444444444444</v>
      </c>
    </row>
    <row r="25" spans="1:11">
      <c r="A25" s="1">
        <v>24</v>
      </c>
      <c r="B25" s="1" t="s">
        <v>25</v>
      </c>
      <c r="C25" s="1" t="s">
        <v>13</v>
      </c>
      <c r="D25" s="1" t="s">
        <v>12</v>
      </c>
      <c r="E25">
        <v>0.7984</v>
      </c>
      <c r="F25" s="1">
        <f t="shared" si="0"/>
        <v>-0.0856</v>
      </c>
      <c r="J25" s="1"/>
      <c r="K25" s="1"/>
    </row>
    <row r="26" ht="17" spans="1:11">
      <c r="A26" s="1">
        <v>25</v>
      </c>
      <c r="B26" s="1" t="s">
        <v>25</v>
      </c>
      <c r="C26" s="1" t="s">
        <v>16</v>
      </c>
      <c r="D26" s="1" t="s">
        <v>9</v>
      </c>
      <c r="E26">
        <v>0.7874</v>
      </c>
      <c r="F26" s="1">
        <f t="shared" si="0"/>
        <v>-0.0966</v>
      </c>
      <c r="J26" s="3" t="s">
        <v>29</v>
      </c>
      <c r="K26" s="1">
        <f>AVERAGEIF(C2:C28,"N",F2:F28)</f>
        <v>-0.0910777777777778</v>
      </c>
    </row>
    <row r="27" ht="17" spans="1:11">
      <c r="A27" s="1">
        <v>26</v>
      </c>
      <c r="B27" s="1" t="s">
        <v>25</v>
      </c>
      <c r="C27" s="1" t="s">
        <v>16</v>
      </c>
      <c r="D27" s="1" t="s">
        <v>11</v>
      </c>
      <c r="E27">
        <v>0.8094</v>
      </c>
      <c r="F27" s="1">
        <f t="shared" si="0"/>
        <v>-0.0746</v>
      </c>
      <c r="J27" s="3" t="s">
        <v>30</v>
      </c>
      <c r="K27" s="1">
        <f>AVERAGEIF(C2:C28,"V",F2:F28)</f>
        <v>-0.0971888888888889</v>
      </c>
    </row>
    <row r="28" ht="17" spans="1:11">
      <c r="A28" s="1">
        <v>27</v>
      </c>
      <c r="B28" s="1" t="s">
        <v>25</v>
      </c>
      <c r="C28" s="1" t="s">
        <v>16</v>
      </c>
      <c r="D28" s="1" t="s">
        <v>12</v>
      </c>
      <c r="E28">
        <v>0.8215</v>
      </c>
      <c r="F28" s="1">
        <f t="shared" si="0"/>
        <v>-0.0625</v>
      </c>
      <c r="J28" s="3" t="s">
        <v>31</v>
      </c>
      <c r="K28" s="1">
        <f>AVERAGEIF(C2:C28,"O",F2:F28)</f>
        <v>-0.0921666666666667</v>
      </c>
    </row>
    <row r="29" spans="1:11">
      <c r="J29" s="1"/>
      <c r="K29" s="1"/>
    </row>
    <row r="30" ht="17" spans="1:11">
      <c r="J30" s="3" t="s">
        <v>32</v>
      </c>
      <c r="K30" s="1">
        <f>AVERAGEIF(D2:D28,"K",F2:F28)</f>
        <v>-0.102322222222222</v>
      </c>
    </row>
    <row r="31" ht="17" spans="1:11">
      <c r="J31" s="3" t="s">
        <v>33</v>
      </c>
      <c r="K31" s="1">
        <f>AVERAGEIF(D2:D28,"R",F2:F28)</f>
        <v>-0.0968555555555556</v>
      </c>
    </row>
    <row r="32" ht="17" spans="1:11">
      <c r="J32" s="3" t="s">
        <v>34</v>
      </c>
      <c r="K32" s="1">
        <f>AVERAGEIF(D2:D28,"A",F2:F28)</f>
        <v>-0.0812555555555556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hmq</dc:creator>
  <cp:lastModifiedBy>华曦</cp:lastModifiedBy>
  <dcterms:created xsi:type="dcterms:W3CDTF">2025-11-10T13:51:33Z</dcterms:created>
  <dcterms:modified xsi:type="dcterms:W3CDTF">2025-11-10T14:02:35Z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7037BD5D8A4647C18E122995A4EF32BF_11</vt:lpwstr>
  </property>
  <property fmtid="{D5CDD505-2E9C-101B-9397-08002B2CF9AE}" pid="3" name="KSOProductBuildVer">
    <vt:lpwstr>2052-12.1.0.23542</vt:lpwstr>
  </property>
</Properties>
</file>